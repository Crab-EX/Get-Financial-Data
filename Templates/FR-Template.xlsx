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rel\source\repos\Get-Financial-Data\Templates\"/>
    </mc:Choice>
  </mc:AlternateContent>
  <xr:revisionPtr revIDLastSave="0" documentId="13_ncr:1_{7EFBD412-9D58-44E3-B1CD-2D07098D6E54}" xr6:coauthVersionLast="47" xr6:coauthVersionMax="47" xr10:uidLastSave="{00000000-0000-0000-0000-000000000000}"/>
  <bookViews>
    <workbookView xWindow="-6150" yWindow="-16320" windowWidth="38640" windowHeight="16440" xr2:uid="{AC6C557F-AA14-4938-9B1D-E1AAAC6A3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E82" i="1"/>
  <c r="D82" i="1"/>
  <c r="G44" i="1"/>
  <c r="F44" i="1"/>
  <c r="E44" i="1"/>
  <c r="D44" i="1"/>
  <c r="G133" i="1"/>
  <c r="F133" i="1"/>
  <c r="E133" i="1"/>
  <c r="D133" i="1"/>
  <c r="G129" i="1"/>
  <c r="F129" i="1"/>
  <c r="F134" i="1" s="1"/>
  <c r="E129" i="1"/>
  <c r="E134" i="1" s="1"/>
  <c r="D129" i="1"/>
  <c r="D134" i="1" s="1"/>
  <c r="G124" i="1"/>
  <c r="F124" i="1"/>
  <c r="E124" i="1"/>
  <c r="G123" i="1"/>
  <c r="F123" i="1"/>
  <c r="E123" i="1"/>
  <c r="D123" i="1"/>
  <c r="G118" i="1"/>
  <c r="F118" i="1"/>
  <c r="E118" i="1"/>
  <c r="D118" i="1"/>
  <c r="D124" i="1" s="1"/>
  <c r="G103" i="1"/>
  <c r="G108" i="1" s="1"/>
  <c r="F103" i="1"/>
  <c r="F108" i="1" s="1"/>
  <c r="E103" i="1"/>
  <c r="E108" i="1" s="1"/>
  <c r="D103" i="1"/>
  <c r="D108" i="1" s="1"/>
  <c r="D92" i="1"/>
  <c r="G86" i="1"/>
  <c r="G92" i="1" s="1"/>
  <c r="F86" i="1"/>
  <c r="F92" i="1" s="1"/>
  <c r="E86" i="1"/>
  <c r="E92" i="1" s="1"/>
  <c r="D86" i="1"/>
  <c r="G74" i="1"/>
  <c r="F74" i="1"/>
  <c r="E74" i="1"/>
  <c r="D74" i="1"/>
  <c r="G63" i="1"/>
  <c r="F63" i="1"/>
  <c r="E63" i="1"/>
  <c r="D63" i="1"/>
  <c r="G60" i="1"/>
  <c r="F60" i="1"/>
  <c r="E60" i="1"/>
  <c r="D60" i="1"/>
  <c r="G56" i="1"/>
  <c r="F56" i="1"/>
  <c r="E56" i="1"/>
  <c r="D56" i="1"/>
  <c r="G35" i="1"/>
  <c r="F35" i="1"/>
  <c r="E35" i="1"/>
  <c r="D35" i="1"/>
  <c r="G22" i="1"/>
  <c r="G39" i="1" s="1"/>
  <c r="F22" i="1"/>
  <c r="F39" i="1" s="1"/>
  <c r="E22" i="1"/>
  <c r="E39" i="1" s="1"/>
  <c r="D22" i="1"/>
  <c r="D39" i="1" s="1"/>
  <c r="D109" i="1" l="1"/>
  <c r="D125" i="1" s="1"/>
  <c r="D137" i="1" s="1"/>
  <c r="D139" i="1" s="1"/>
  <c r="D76" i="1"/>
  <c r="E76" i="1"/>
  <c r="G76" i="1"/>
  <c r="G134" i="1"/>
  <c r="F76" i="1"/>
  <c r="G109" i="1"/>
  <c r="G125" i="1" s="1"/>
  <c r="E109" i="1"/>
  <c r="E125" i="1" s="1"/>
  <c r="E137" i="1" s="1"/>
  <c r="E139" i="1" s="1"/>
  <c r="F109" i="1"/>
  <c r="F125" i="1" s="1"/>
  <c r="F137" i="1" s="1"/>
  <c r="F139" i="1" s="1"/>
  <c r="G137" i="1"/>
  <c r="G139" i="1" s="1"/>
</calcChain>
</file>

<file path=xl/sharedStrings.xml><?xml version="1.0" encoding="utf-8"?>
<sst xmlns="http://schemas.openxmlformats.org/spreadsheetml/2006/main" count="399" uniqueCount="266">
  <si>
    <t>ACTIF</t>
  </si>
  <si>
    <t>Capital souscrit non appelé</t>
  </si>
  <si>
    <t>Frais d'établissement</t>
  </si>
  <si>
    <t>Frais de développement (net)</t>
  </si>
  <si>
    <t>Concessions, brevets et droits similaires (net)</t>
  </si>
  <si>
    <t>Fonds commercial</t>
  </si>
  <si>
    <t>Autres immo incorporelles (net)</t>
  </si>
  <si>
    <t>Avances et acomptes sur immos incorpo</t>
  </si>
  <si>
    <t>Goodwill</t>
  </si>
  <si>
    <t>Terrains</t>
  </si>
  <si>
    <t>Constructions (net)</t>
  </si>
  <si>
    <t>Installations techniques, outillages industriels (net)</t>
  </si>
  <si>
    <t>Autres immo corpo (net)</t>
  </si>
  <si>
    <t>Immobilisations en cours</t>
  </si>
  <si>
    <t>Avances et acomptes sur immos corpo</t>
  </si>
  <si>
    <t>Participations évaluées par mise en équivalence</t>
  </si>
  <si>
    <t>Autres participations</t>
  </si>
  <si>
    <t>Créances rattachées à des participations</t>
  </si>
  <si>
    <t>Autres titres immobilisés</t>
  </si>
  <si>
    <t>Prêts</t>
  </si>
  <si>
    <t>Autres immos financières</t>
  </si>
  <si>
    <t>Total actif immobilisé</t>
  </si>
  <si>
    <t>Matières premières, approvisionnement</t>
  </si>
  <si>
    <t>En cours de production de biens</t>
  </si>
  <si>
    <t>En cours de production de services</t>
  </si>
  <si>
    <t>Produits intermédiaires et finis</t>
  </si>
  <si>
    <t>Marchandises</t>
  </si>
  <si>
    <t>Avances et acomptes versés sur commandes</t>
  </si>
  <si>
    <t>Clients et comptes rattachés (3)</t>
  </si>
  <si>
    <t>Autres créances (y compris CCA) (3)</t>
  </si>
  <si>
    <t>Capital souscrit et appelé, non versé</t>
  </si>
  <si>
    <t>Valeurs mobilières de placement</t>
  </si>
  <si>
    <t>Disponibilités</t>
  </si>
  <si>
    <t>Charges constatées d'avance (3)</t>
  </si>
  <si>
    <t>Total actif circulant</t>
  </si>
  <si>
    <t>Frais d'émission d'emprunt à étaler</t>
  </si>
  <si>
    <t>Primes de remboursement des obligations</t>
  </si>
  <si>
    <t>Ecarts de conversion actif</t>
  </si>
  <si>
    <t>Total bilan</t>
  </si>
  <si>
    <t>(3) Part à plus d'un an</t>
  </si>
  <si>
    <t>Clients douteux ou litigieux (annexe 8, clé "VA")</t>
  </si>
  <si>
    <t>Groupe et associés (annexe 8, clé "VC")</t>
  </si>
  <si>
    <t>PASSIF</t>
  </si>
  <si>
    <t>Capital social ou individuel</t>
  </si>
  <si>
    <t>Primes d'émission, de fusion, d'apports</t>
  </si>
  <si>
    <t>Ecarts de réévaluation</t>
  </si>
  <si>
    <t>Réserve légale</t>
  </si>
  <si>
    <t>Réserves statutaires ou contractuelles</t>
  </si>
  <si>
    <t>Réserves réglementées</t>
  </si>
  <si>
    <t>Autres réserves</t>
  </si>
  <si>
    <t>Report à nouveau</t>
  </si>
  <si>
    <t>Résultat de l'exercice</t>
  </si>
  <si>
    <t>Subventions d'investissement</t>
  </si>
  <si>
    <t>Provisions réglementées</t>
  </si>
  <si>
    <t>Total capitaux propres</t>
  </si>
  <si>
    <t>Produits des émissions de titres participatifs</t>
  </si>
  <si>
    <t>Avances conditionnées</t>
  </si>
  <si>
    <t>Intérêts minoritaires</t>
  </si>
  <si>
    <t>Total autres fonds propres</t>
  </si>
  <si>
    <t>Provisions pour risques</t>
  </si>
  <si>
    <t>Provisions pour charges</t>
  </si>
  <si>
    <t>Total provisions risques et charges</t>
  </si>
  <si>
    <t>Emprunts obligataires convertibles</t>
  </si>
  <si>
    <t>Autres emprunts obligataires</t>
  </si>
  <si>
    <t>Emprunts et dettes auprès des établissements de crédit (5)</t>
  </si>
  <si>
    <t>Emprunts et dettes financières divers (y compris C/C)*</t>
  </si>
  <si>
    <t>Avances et acomptes reçus sur commandes en cours</t>
  </si>
  <si>
    <t>Dettes fournisseurs et comptes rattachés</t>
  </si>
  <si>
    <t>Dettes fiscales et sociales</t>
  </si>
  <si>
    <t>Dettes sur immobilisations et comptes rattachés</t>
  </si>
  <si>
    <t>Autres dettes (retraitées d'éventuels C/C)*</t>
  </si>
  <si>
    <t>Produits constatés d'avance (4)</t>
  </si>
  <si>
    <t>Total dettes</t>
  </si>
  <si>
    <t>Ecarts de conversion passif</t>
  </si>
  <si>
    <t>* Groupe et associés (annexe 8, clé "VI")</t>
  </si>
  <si>
    <t>(4) Dettes et produits constatés d'avance à moins d'un an</t>
  </si>
  <si>
    <t>(5) Dont concours bancaires courants et soldes créditeurs de banques</t>
  </si>
  <si>
    <t>Distribution de dividendes (annexe 11, clé "ZE")</t>
  </si>
  <si>
    <t>COMPTE DE RESULTAT</t>
  </si>
  <si>
    <t>Vente de marchandises</t>
  </si>
  <si>
    <t>Production vendue de biens</t>
  </si>
  <si>
    <t>Production vendue de services</t>
  </si>
  <si>
    <t>Chiffre d'affaires</t>
  </si>
  <si>
    <t>Production stockée</t>
  </si>
  <si>
    <t>Production immobilisée</t>
  </si>
  <si>
    <t>Subvention d'exploitation</t>
  </si>
  <si>
    <t>Reprises sur amortissements et provisions, transfert de charges (9)</t>
  </si>
  <si>
    <t>Autres produits (1) (11)</t>
  </si>
  <si>
    <t>Total des produits d'exploitation (2)</t>
  </si>
  <si>
    <t>Achat de marchandises</t>
  </si>
  <si>
    <t>Variation de stock (marchandises)</t>
  </si>
  <si>
    <t>Achats de matières premières</t>
  </si>
  <si>
    <t>Variation de stock (mat premières et appro)</t>
  </si>
  <si>
    <t>Autres achats et charges externes (3) (6bis)</t>
  </si>
  <si>
    <t>Impôts, taxes, versements assimilés</t>
  </si>
  <si>
    <t>Salaires et traitements</t>
  </si>
  <si>
    <t>Charges sociales (10)</t>
  </si>
  <si>
    <t>68111. Dotations aux amorts immo incorporelles</t>
  </si>
  <si>
    <t>68112. Dotations aux amorts immo corporelles</t>
  </si>
  <si>
    <t>Dotations aux amortissements sur immo</t>
  </si>
  <si>
    <t>Dotations aux provisions sur immo</t>
  </si>
  <si>
    <t>Dotations aux provisions sur circulant</t>
  </si>
  <si>
    <t>Dotations aux provisions pour risques et charges</t>
  </si>
  <si>
    <t>Autres charges (12)</t>
  </si>
  <si>
    <t>Total charges d'exploitation (4)</t>
  </si>
  <si>
    <t>Résultat d'Exploitation</t>
  </si>
  <si>
    <t>Bénéfice attribué ou perte transférée</t>
  </si>
  <si>
    <t>Perte supportée ou bénéfice transféré</t>
  </si>
  <si>
    <t>Produits financiers de participation (5)</t>
  </si>
  <si>
    <t>Produits des autres valeurs mobilières et créances de l'actif immobilisé (5)</t>
  </si>
  <si>
    <t>Autres intérêts et produits assimilés (5)</t>
  </si>
  <si>
    <t>Reprises de provisions et transfert de charges</t>
  </si>
  <si>
    <t>Différences positives de change</t>
  </si>
  <si>
    <t>Produits nets sur cessions de valeurs mobilières de placement</t>
  </si>
  <si>
    <t>Total produits financiers</t>
  </si>
  <si>
    <t>Dotations financières aux amortissements et provisions</t>
  </si>
  <si>
    <t>Intérêts et charges assimilées (6)</t>
  </si>
  <si>
    <t>Différences négatives de change</t>
  </si>
  <si>
    <t>Charges nettes sur cession de valeurs mobilières de placement</t>
  </si>
  <si>
    <t>Total charges financières</t>
  </si>
  <si>
    <t>Résultat Financier</t>
  </si>
  <si>
    <t>Résultat Courant Avant Impôts</t>
  </si>
  <si>
    <t>Produits exceptionnels sur opérations de gestion</t>
  </si>
  <si>
    <t>Produits exceptionnels sur opérations en capital</t>
  </si>
  <si>
    <t>Reprises sur provisions et transfert de charges</t>
  </si>
  <si>
    <t>Total des produits exceptionnels (7)</t>
  </si>
  <si>
    <t>Charges exceptionnelles sur opérations de gestion</t>
  </si>
  <si>
    <t>Charges exceptionnelles sur opérations en capital</t>
  </si>
  <si>
    <t>Dotations exceptionnelles aux amortissements et provisions</t>
  </si>
  <si>
    <t>Total des charges exceptionnelles (7)</t>
  </si>
  <si>
    <t>Résultat exceptionnel</t>
  </si>
  <si>
    <t>Participation des salariés aux résultats de l'entreprise</t>
  </si>
  <si>
    <t>Impôts sur les bénéfices</t>
  </si>
  <si>
    <t>Bénéfice ou perte</t>
  </si>
  <si>
    <t>Bénéfice ou perte (part du groupe)</t>
  </si>
  <si>
    <t>(9) Dont transferts de charges</t>
  </si>
  <si>
    <t>AA</t>
  </si>
  <si>
    <t>AB</t>
  </si>
  <si>
    <t>CX</t>
  </si>
  <si>
    <t>AF</t>
  </si>
  <si>
    <t>AH</t>
  </si>
  <si>
    <t>AJ</t>
  </si>
  <si>
    <t>AL</t>
  </si>
  <si>
    <t>AN</t>
  </si>
  <si>
    <t>AP</t>
  </si>
  <si>
    <t>AR</t>
  </si>
  <si>
    <t>AT</t>
  </si>
  <si>
    <t>AV</t>
  </si>
  <si>
    <t>AX</t>
  </si>
  <si>
    <t>CS</t>
  </si>
  <si>
    <t>CU</t>
  </si>
  <si>
    <t>BB</t>
  </si>
  <si>
    <t>BD</t>
  </si>
  <si>
    <t>BF</t>
  </si>
  <si>
    <t>BH</t>
  </si>
  <si>
    <t>BJ</t>
  </si>
  <si>
    <t>Key</t>
  </si>
  <si>
    <t>BL</t>
  </si>
  <si>
    <t>BN</t>
  </si>
  <si>
    <t>BP</t>
  </si>
  <si>
    <t>BR</t>
  </si>
  <si>
    <t>BT</t>
  </si>
  <si>
    <t>BV</t>
  </si>
  <si>
    <t>BX</t>
  </si>
  <si>
    <t>BZ</t>
  </si>
  <si>
    <t>CB</t>
  </si>
  <si>
    <t>CD</t>
  </si>
  <si>
    <t>CF</t>
  </si>
  <si>
    <t>CH</t>
  </si>
  <si>
    <t>CJ</t>
  </si>
  <si>
    <t>CW</t>
  </si>
  <si>
    <t>CM</t>
  </si>
  <si>
    <t>CN</t>
  </si>
  <si>
    <t>CO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</si>
  <si>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</si>
  <si>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</si>
  <si>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</si>
  <si>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</si>
  <si>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</si>
  <si>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</si>
  <si>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</si>
  <si>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</si>
  <si>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</si>
  <si>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</si>
  <si>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</si>
  <si>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</si>
  <si>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</si>
  <si>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</si>
  <si>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</si>
  <si>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</si>
  <si>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</si>
  <si>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</si>
  <si>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</si>
  <si>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</si>
  <si>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</si>
  <si>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</si>
  <si>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</si>
  <si>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</si>
  <si>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</si>
  <si>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</si>
  <si>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</si>
  <si>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</si>
  <si>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</si>
  <si>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</si>
  <si>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</si>
  <si>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EG</t>
  </si>
  <si>
    <t>EH</t>
  </si>
  <si>
    <t>FC</t>
  </si>
  <si>
    <t>FF</t>
  </si>
  <si>
    <t>FI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</si>
  <si>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</si>
  <si>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</si>
  <si>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</si>
  <si>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</si>
  <si>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</si>
  <si>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</si>
  <si>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</si>
  <si>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</si>
  <si>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</si>
  <si>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</si>
  <si>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</si>
  <si>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</si>
  <si>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</si>
  <si>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</si>
  <si>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</si>
  <si>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</si>
  <si>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</si>
  <si>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</si>
  <si>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</si>
  <si>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</si>
  <si>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</si>
  <si>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</si>
  <si>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</si>
  <si>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</si>
  <si>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</si>
  <si>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</si>
  <si>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</si>
  <si>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</si>
  <si>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</si>
  <si>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</si>
  <si>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</si>
  <si>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</si>
  <si>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</si>
  <si>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</si>
  <si>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</si>
  <si>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</si>
  <si>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</si>
  <si>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</si>
  <si>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</si>
  <si>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</si>
  <si>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</si>
  <si>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</si>
  <si>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</si>
  <si>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</si>
  <si>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</si>
  <si>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</si>
  <si>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</si>
  <si>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</si>
  <si>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</si>
  <si>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HN</t>
  </si>
  <si>
    <t>A1</t>
  </si>
  <si>
    <t>Sheet</t>
  </si>
  <si>
    <t>Actif</t>
  </si>
  <si>
    <t>Passif</t>
  </si>
  <si>
    <t>Compte de résultat</t>
  </si>
  <si>
    <t>Compte de résultat (suite)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</si>
</sst>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"/>
    <numFmt numFmtId="165" formatCode="_-* #,##0.00\ _€_-;\-* #,##0.00\ _€_-;_-* &quot;-&quot;??\ _€_-;_-@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4472C4"/>
        <bgColor rgb="FF4472C4"/>
      </patternFill>
    </fill>
    <fill>
      <patternFill patternType="solid">
        <fgColor rgb="FFBDD6EE"/>
        <bgColor rgb="FFBDD6EE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/>
    <xf numFmtId="164" fontId="2" fillId="5" borderId="1" xfId="0" applyNumberFormat="1" applyFont="1" applyFill="1" applyBorder="1"/>
    <xf numFmtId="0" fontId="2" fillId="4" borderId="0" xfId="0" applyFont="1" applyFill="1" applyAlignment="1">
      <alignment vertical="center"/>
    </xf>
    <xf numFmtId="164" fontId="2" fillId="4" borderId="0" xfId="0" applyNumberFormat="1" applyFont="1" applyFill="1"/>
    <xf numFmtId="164" fontId="2" fillId="5" borderId="0" xfId="0" applyNumberFormat="1" applyFont="1" applyFill="1"/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/>
    <xf numFmtId="164" fontId="2" fillId="5" borderId="2" xfId="0" applyNumberFormat="1" applyFont="1" applyFill="1" applyBorder="1"/>
    <xf numFmtId="0" fontId="3" fillId="4" borderId="2" xfId="0" applyFont="1" applyFill="1" applyBorder="1" applyAlignment="1">
      <alignment vertical="center"/>
    </xf>
    <xf numFmtId="164" fontId="3" fillId="4" borderId="2" xfId="0" applyNumberFormat="1" applyFont="1" applyFill="1" applyBorder="1"/>
    <xf numFmtId="164" fontId="3" fillId="5" borderId="2" xfId="0" applyNumberFormat="1" applyFont="1" applyFill="1" applyBorder="1"/>
    <xf numFmtId="0" fontId="1" fillId="6" borderId="0" xfId="0" applyFont="1" applyFill="1" applyAlignment="1">
      <alignment vertical="center"/>
    </xf>
    <xf numFmtId="164" fontId="1" fillId="6" borderId="0" xfId="0" applyNumberFormat="1" applyFont="1" applyFill="1"/>
    <xf numFmtId="0" fontId="2" fillId="4" borderId="3" xfId="0" applyFont="1" applyFill="1" applyBorder="1" applyAlignment="1">
      <alignment vertical="center"/>
    </xf>
    <xf numFmtId="164" fontId="2" fillId="4" borderId="3" xfId="0" applyNumberFormat="1" applyFont="1" applyFill="1" applyBorder="1"/>
    <xf numFmtId="164" fontId="2" fillId="5" borderId="3" xfId="0" applyNumberFormat="1" applyFont="1" applyFill="1" applyBorder="1"/>
    <xf numFmtId="0" fontId="1" fillId="3" borderId="0" xfId="0" applyFont="1" applyFill="1" applyAlignment="1">
      <alignment vertical="center"/>
    </xf>
    <xf numFmtId="164" fontId="1" fillId="3" borderId="0" xfId="0" applyNumberFormat="1" applyFont="1" applyFill="1"/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/>
    <xf numFmtId="164" fontId="3" fillId="5" borderId="3" xfId="0" applyNumberFormat="1" applyFont="1" applyFill="1" applyBorder="1"/>
    <xf numFmtId="165" fontId="2" fillId="4" borderId="0" xfId="0" applyNumberFormat="1" applyFont="1" applyFill="1"/>
    <xf numFmtId="0" fontId="3" fillId="7" borderId="2" xfId="0" applyFont="1" applyFill="1" applyBorder="1" applyAlignment="1">
      <alignment horizontal="left" vertical="center"/>
    </xf>
    <xf numFmtId="164" fontId="3" fillId="7" borderId="2" xfId="0" applyNumberFormat="1" applyFont="1" applyFill="1" applyBorder="1"/>
    <xf numFmtId="164" fontId="2" fillId="7" borderId="2" xfId="0" applyNumberFormat="1" applyFont="1" applyFill="1" applyBorder="1"/>
    <xf numFmtId="0" fontId="3" fillId="4" borderId="0" xfId="0" applyFont="1" applyFill="1" applyAlignment="1">
      <alignment vertical="center"/>
    </xf>
    <xf numFmtId="164" fontId="3" fillId="4" borderId="0" xfId="0" applyNumberFormat="1" applyFont="1" applyFill="1"/>
    <xf numFmtId="164" fontId="3" fillId="5" borderId="0" xfId="0" applyNumberFormat="1" applyFont="1" applyFill="1"/>
    <xf numFmtId="0" fontId="4" fillId="3" borderId="0" xfId="0" applyFont="1" applyFill="1" applyAlignment="1">
      <alignment vertical="center"/>
    </xf>
    <xf numFmtId="164" fontId="4" fillId="3" borderId="0" xfId="0" applyNumberFormat="1" applyFont="1" applyFill="1"/>
    <xf numFmtId="0" fontId="0" fillId="2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88D687F-5C9A-4F70-9992-57D90A65D222}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3A19-667F-4AFD-93EF-EC91C60BC493}">
  <dimension ref="A1:G140"/>
  <sheetViews>
    <sheetView tabSelected="1" topLeftCell="A52" workbookViewId="0">
      <selection activeCell="Q68" sqref="Q68"/>
    </sheetView>
  </sheetViews>
  <sheetFormatPr defaultRowHeight="15" x14ac:dyDescent="0.25"/>
  <cols>
    <col min="1" max="1" width="9.140625" style="1"/>
    <col min="2" max="2" width="8.42578125" style="1" customWidth="1"/>
    <col min="3" max="3" width="64" style="1" bestFit="1" customWidth="1"/>
    <col min="4" max="16384" width="9.140625" style="1"/>
  </cols>
  <sheetData>
    <row r="1" spans="1:7" x14ac:dyDescent="0.25">
      <c r="A1" s="36" t="s">
        <v>261</v>
      </c>
      <c r="B1" s="36" t="s">
        <v>156</v>
      </c>
      <c r="C1" s="2" t="s">
        <v>0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5">
      <c r="A2" s="1" t="s">
        <v>262</v>
      </c>
      <c r="B2" s="35" t="s">
        <v>136</v>
      </c>
      <c r="C2" s="4" t="s">
        <v>1</v>
      </c>
      <c r="D2" s="5"/>
      <c r="E2" s="6"/>
      <c r="F2" s="5"/>
      <c r="G2" s="6"/>
    </row>
    <row r="3" spans="1:7" x14ac:dyDescent="0.25">
      <c r="A3" s="1" t="s">
        <v>262</v>
      </c>
      <c r="B3" s="35" t="s">
        <v>137</v>
      </c>
      <c r="C3" s="7" t="s">
        <v>2</v>
      </c>
      <c r="D3" s="8"/>
      <c r="E3" s="9"/>
      <c r="F3" s="8"/>
      <c r="G3" s="9"/>
    </row>
    <row r="4" spans="1:7" x14ac:dyDescent="0.25">
      <c r="A4" s="1" t="s">
        <v>262</v>
      </c>
      <c r="B4" s="35" t="s">
        <v>138</v>
      </c>
      <c r="C4" s="10" t="s">
        <v>3</v>
      </c>
      <c r="D4" s="11"/>
      <c r="E4" s="12"/>
      <c r="F4" s="11"/>
      <c r="G4" s="12"/>
    </row>
    <row r="5" spans="1:7" x14ac:dyDescent="0.25">
      <c r="A5" s="1" t="s">
        <v>262</v>
      </c>
      <c r="B5" s="35" t="s">
        <v>139</v>
      </c>
      <c r="C5" s="10" t="s">
        <v>4</v>
      </c>
      <c r="D5" s="11"/>
      <c r="E5" s="12"/>
      <c r="F5" s="11"/>
      <c r="G5" s="12"/>
    </row>
    <row r="6" spans="1:7" x14ac:dyDescent="0.25">
      <c r="A6" s="1" t="s">
        <v>262</v>
      </c>
      <c r="B6" s="35" t="s">
        <v>140</v>
      </c>
      <c r="C6" s="7" t="s">
        <v>5</v>
      </c>
      <c r="D6" s="8"/>
      <c r="E6" s="9"/>
      <c r="F6" s="8"/>
      <c r="G6" s="9"/>
    </row>
    <row r="7" spans="1:7" x14ac:dyDescent="0.25">
      <c r="A7" s="1" t="s">
        <v>262</v>
      </c>
      <c r="B7" s="35" t="s">
        <v>141</v>
      </c>
      <c r="C7" s="10" t="s">
        <v>6</v>
      </c>
      <c r="D7" s="11"/>
      <c r="E7" s="12"/>
      <c r="F7" s="11"/>
      <c r="G7" s="12"/>
    </row>
    <row r="8" spans="1:7" x14ac:dyDescent="0.25">
      <c r="A8" s="1" t="s">
        <v>262</v>
      </c>
      <c r="B8" s="35" t="s">
        <v>142</v>
      </c>
      <c r="C8" s="10" t="s">
        <v>7</v>
      </c>
      <c r="D8" s="11"/>
      <c r="E8" s="12"/>
      <c r="F8" s="11"/>
      <c r="G8" s="12"/>
    </row>
    <row r="9" spans="1:7" x14ac:dyDescent="0.25">
      <c r="A9" s="1" t="s">
        <v>262</v>
      </c>
      <c r="C9" s="13" t="s">
        <v>8</v>
      </c>
      <c r="D9" s="14"/>
      <c r="E9" s="15"/>
      <c r="F9" s="14"/>
      <c r="G9" s="15"/>
    </row>
    <row r="10" spans="1:7" x14ac:dyDescent="0.25">
      <c r="A10" s="1" t="s">
        <v>262</v>
      </c>
      <c r="B10" s="35" t="s">
        <v>143</v>
      </c>
      <c r="C10" s="10" t="s">
        <v>9</v>
      </c>
      <c r="D10" s="11"/>
      <c r="E10" s="12"/>
      <c r="F10" s="11"/>
      <c r="G10" s="12"/>
    </row>
    <row r="11" spans="1:7" x14ac:dyDescent="0.25">
      <c r="A11" s="1" t="s">
        <v>262</v>
      </c>
      <c r="B11" s="35" t="s">
        <v>144</v>
      </c>
      <c r="C11" s="10" t="s">
        <v>10</v>
      </c>
      <c r="D11" s="11"/>
      <c r="E11" s="12"/>
      <c r="F11" s="11"/>
      <c r="G11" s="12"/>
    </row>
    <row r="12" spans="1:7" x14ac:dyDescent="0.25">
      <c r="A12" s="1" t="s">
        <v>262</v>
      </c>
      <c r="B12" s="35" t="s">
        <v>145</v>
      </c>
      <c r="C12" s="10" t="s">
        <v>11</v>
      </c>
      <c r="D12" s="11"/>
      <c r="E12" s="12"/>
      <c r="F12" s="11"/>
      <c r="G12" s="12"/>
    </row>
    <row r="13" spans="1:7" x14ac:dyDescent="0.25">
      <c r="A13" s="1" t="s">
        <v>262</v>
      </c>
      <c r="B13" s="35" t="s">
        <v>146</v>
      </c>
      <c r="C13" s="10" t="s">
        <v>12</v>
      </c>
      <c r="D13" s="11"/>
      <c r="E13" s="12"/>
      <c r="F13" s="11"/>
      <c r="G13" s="12"/>
    </row>
    <row r="14" spans="1:7" x14ac:dyDescent="0.25">
      <c r="A14" s="1" t="s">
        <v>262</v>
      </c>
      <c r="B14" s="35" t="s">
        <v>147</v>
      </c>
      <c r="C14" s="10" t="s">
        <v>13</v>
      </c>
      <c r="D14" s="11"/>
      <c r="E14" s="12"/>
      <c r="F14" s="11"/>
      <c r="G14" s="12"/>
    </row>
    <row r="15" spans="1:7" x14ac:dyDescent="0.25">
      <c r="A15" s="1" t="s">
        <v>262</v>
      </c>
      <c r="B15" s="35" t="s">
        <v>148</v>
      </c>
      <c r="C15" s="10" t="s">
        <v>14</v>
      </c>
      <c r="D15" s="11"/>
      <c r="E15" s="12"/>
      <c r="F15" s="11"/>
      <c r="G15" s="12"/>
    </row>
    <row r="16" spans="1:7" x14ac:dyDescent="0.25">
      <c r="A16" s="1" t="s">
        <v>262</v>
      </c>
      <c r="B16" s="35" t="s">
        <v>149</v>
      </c>
      <c r="C16" s="7" t="s">
        <v>15</v>
      </c>
      <c r="D16" s="8"/>
      <c r="E16" s="9"/>
      <c r="F16" s="8"/>
      <c r="G16" s="9"/>
    </row>
    <row r="17" spans="1:7" x14ac:dyDescent="0.25">
      <c r="A17" s="1" t="s">
        <v>262</v>
      </c>
      <c r="B17" s="35" t="s">
        <v>150</v>
      </c>
      <c r="C17" s="10" t="s">
        <v>16</v>
      </c>
      <c r="D17" s="11"/>
      <c r="E17" s="12"/>
      <c r="F17" s="11"/>
      <c r="G17" s="12"/>
    </row>
    <row r="18" spans="1:7" x14ac:dyDescent="0.25">
      <c r="A18" s="1" t="s">
        <v>262</v>
      </c>
      <c r="B18" s="35" t="s">
        <v>151</v>
      </c>
      <c r="C18" s="7" t="s">
        <v>17</v>
      </c>
      <c r="D18" s="8"/>
      <c r="E18" s="9"/>
      <c r="F18" s="8"/>
      <c r="G18" s="9"/>
    </row>
    <row r="19" spans="1:7" x14ac:dyDescent="0.25">
      <c r="A19" s="1" t="s">
        <v>262</v>
      </c>
      <c r="B19" s="35" t="s">
        <v>152</v>
      </c>
      <c r="C19" s="10" t="s">
        <v>18</v>
      </c>
      <c r="D19" s="11"/>
      <c r="E19" s="12"/>
      <c r="F19" s="11"/>
      <c r="G19" s="12"/>
    </row>
    <row r="20" spans="1:7" x14ac:dyDescent="0.25">
      <c r="A20" s="1" t="s">
        <v>262</v>
      </c>
      <c r="B20" s="35" t="s">
        <v>153</v>
      </c>
      <c r="C20" s="10" t="s">
        <v>19</v>
      </c>
      <c r="D20" s="11"/>
      <c r="E20" s="12"/>
      <c r="F20" s="11"/>
      <c r="G20" s="12"/>
    </row>
    <row r="21" spans="1:7" x14ac:dyDescent="0.25">
      <c r="A21" s="1" t="s">
        <v>262</v>
      </c>
      <c r="B21" s="35" t="s">
        <v>154</v>
      </c>
      <c r="C21" s="7" t="s">
        <v>20</v>
      </c>
      <c r="D21" s="8"/>
      <c r="E21" s="9"/>
      <c r="F21" s="8"/>
      <c r="G21" s="9"/>
    </row>
    <row r="22" spans="1:7" x14ac:dyDescent="0.25">
      <c r="A22" s="1" t="s">
        <v>262</v>
      </c>
      <c r="B22" s="35" t="s">
        <v>155</v>
      </c>
      <c r="C22" s="16" t="s">
        <v>21</v>
      </c>
      <c r="D22" s="17">
        <f t="shared" ref="D22:G22" si="0">SUM(D2:D21)</f>
        <v>0</v>
      </c>
      <c r="E22" s="17">
        <f t="shared" si="0"/>
        <v>0</v>
      </c>
      <c r="F22" s="17">
        <f t="shared" si="0"/>
        <v>0</v>
      </c>
      <c r="G22" s="17">
        <f t="shared" si="0"/>
        <v>0</v>
      </c>
    </row>
    <row r="23" spans="1:7" x14ac:dyDescent="0.25">
      <c r="A23" s="1" t="s">
        <v>262</v>
      </c>
      <c r="B23" s="35" t="s">
        <v>157</v>
      </c>
      <c r="C23" s="4" t="s">
        <v>22</v>
      </c>
      <c r="D23" s="5"/>
      <c r="E23" s="6"/>
      <c r="F23" s="5"/>
      <c r="G23" s="6"/>
    </row>
    <row r="24" spans="1:7" x14ac:dyDescent="0.25">
      <c r="A24" s="1" t="s">
        <v>262</v>
      </c>
      <c r="B24" s="35" t="s">
        <v>158</v>
      </c>
      <c r="C24" s="10" t="s">
        <v>23</v>
      </c>
      <c r="D24" s="11"/>
      <c r="E24" s="12"/>
      <c r="F24" s="11"/>
      <c r="G24" s="12"/>
    </row>
    <row r="25" spans="1:7" x14ac:dyDescent="0.25">
      <c r="A25" s="1" t="s">
        <v>262</v>
      </c>
      <c r="B25" s="35" t="s">
        <v>159</v>
      </c>
      <c r="C25" s="10" t="s">
        <v>24</v>
      </c>
      <c r="D25" s="11"/>
      <c r="E25" s="12"/>
      <c r="F25" s="11"/>
      <c r="G25" s="12"/>
    </row>
    <row r="26" spans="1:7" x14ac:dyDescent="0.25">
      <c r="A26" s="1" t="s">
        <v>262</v>
      </c>
      <c r="B26" s="35" t="s">
        <v>160</v>
      </c>
      <c r="C26" s="10" t="s">
        <v>25</v>
      </c>
      <c r="D26" s="11"/>
      <c r="E26" s="12"/>
      <c r="F26" s="11"/>
      <c r="G26" s="12"/>
    </row>
    <row r="27" spans="1:7" x14ac:dyDescent="0.25">
      <c r="A27" s="1" t="s">
        <v>262</v>
      </c>
      <c r="B27" s="35" t="s">
        <v>161</v>
      </c>
      <c r="C27" s="10" t="s">
        <v>26</v>
      </c>
      <c r="D27" s="11"/>
      <c r="E27" s="12"/>
      <c r="F27" s="11"/>
      <c r="G27" s="12"/>
    </row>
    <row r="28" spans="1:7" x14ac:dyDescent="0.25">
      <c r="A28" s="1" t="s">
        <v>262</v>
      </c>
      <c r="B28" s="35" t="s">
        <v>162</v>
      </c>
      <c r="C28" s="10" t="s">
        <v>27</v>
      </c>
      <c r="D28" s="11"/>
      <c r="E28" s="12"/>
      <c r="F28" s="11"/>
      <c r="G28" s="12"/>
    </row>
    <row r="29" spans="1:7" x14ac:dyDescent="0.25">
      <c r="A29" s="1" t="s">
        <v>262</v>
      </c>
      <c r="B29" s="35" t="s">
        <v>163</v>
      </c>
      <c r="C29" s="10" t="s">
        <v>28</v>
      </c>
      <c r="D29" s="11"/>
      <c r="E29" s="12"/>
      <c r="F29" s="11"/>
      <c r="G29" s="12"/>
    </row>
    <row r="30" spans="1:7" x14ac:dyDescent="0.25">
      <c r="A30" s="1" t="s">
        <v>262</v>
      </c>
      <c r="B30" s="35" t="s">
        <v>164</v>
      </c>
      <c r="C30" s="10" t="s">
        <v>29</v>
      </c>
      <c r="D30" s="11"/>
      <c r="E30" s="12"/>
      <c r="F30" s="11"/>
      <c r="G30" s="12"/>
    </row>
    <row r="31" spans="1:7" x14ac:dyDescent="0.25">
      <c r="A31" s="1" t="s">
        <v>262</v>
      </c>
      <c r="B31" s="35" t="s">
        <v>165</v>
      </c>
      <c r="C31" s="10" t="s">
        <v>30</v>
      </c>
      <c r="D31" s="11"/>
      <c r="E31" s="12"/>
      <c r="F31" s="11"/>
      <c r="G31" s="12"/>
    </row>
    <row r="32" spans="1:7" x14ac:dyDescent="0.25">
      <c r="A32" s="1" t="s">
        <v>262</v>
      </c>
      <c r="B32" s="35" t="s">
        <v>166</v>
      </c>
      <c r="C32" s="10" t="s">
        <v>31</v>
      </c>
      <c r="D32" s="11"/>
      <c r="E32" s="12"/>
      <c r="F32" s="11"/>
      <c r="G32" s="12"/>
    </row>
    <row r="33" spans="1:7" x14ac:dyDescent="0.25">
      <c r="A33" s="1" t="s">
        <v>262</v>
      </c>
      <c r="B33" s="35" t="s">
        <v>167</v>
      </c>
      <c r="C33" s="10" t="s">
        <v>32</v>
      </c>
      <c r="D33" s="11"/>
      <c r="E33" s="12"/>
      <c r="F33" s="11"/>
      <c r="G33" s="12"/>
    </row>
    <row r="34" spans="1:7" x14ac:dyDescent="0.25">
      <c r="A34" s="1" t="s">
        <v>262</v>
      </c>
      <c r="B34" s="35" t="s">
        <v>168</v>
      </c>
      <c r="C34" s="18" t="s">
        <v>33</v>
      </c>
      <c r="D34" s="19"/>
      <c r="E34" s="20"/>
      <c r="F34" s="19"/>
      <c r="G34" s="20"/>
    </row>
    <row r="35" spans="1:7" x14ac:dyDescent="0.25">
      <c r="A35" s="1" t="s">
        <v>262</v>
      </c>
      <c r="B35" s="35" t="s">
        <v>169</v>
      </c>
      <c r="C35" s="16" t="s">
        <v>34</v>
      </c>
      <c r="D35" s="17">
        <f>SUM(D23:D34)</f>
        <v>0</v>
      </c>
      <c r="E35" s="17">
        <f t="shared" ref="E35:G35" si="1">SUM(E23:E34)</f>
        <v>0</v>
      </c>
      <c r="F35" s="17">
        <f t="shared" si="1"/>
        <v>0</v>
      </c>
      <c r="G35" s="17">
        <f t="shared" si="1"/>
        <v>0</v>
      </c>
    </row>
    <row r="36" spans="1:7" x14ac:dyDescent="0.25">
      <c r="A36" s="1" t="s">
        <v>262</v>
      </c>
      <c r="B36" s="35" t="s">
        <v>170</v>
      </c>
      <c r="C36" s="4" t="s">
        <v>35</v>
      </c>
      <c r="D36" s="5"/>
      <c r="E36" s="6"/>
      <c r="F36" s="5"/>
      <c r="G36" s="6"/>
    </row>
    <row r="37" spans="1:7" x14ac:dyDescent="0.25">
      <c r="A37" s="1" t="s">
        <v>262</v>
      </c>
      <c r="B37" s="35" t="s">
        <v>171</v>
      </c>
      <c r="C37" s="10" t="s">
        <v>36</v>
      </c>
      <c r="D37" s="11"/>
      <c r="E37" s="12"/>
      <c r="F37" s="11"/>
      <c r="G37" s="12"/>
    </row>
    <row r="38" spans="1:7" x14ac:dyDescent="0.25">
      <c r="A38" s="1" t="s">
        <v>262</v>
      </c>
      <c r="B38" s="35" t="s">
        <v>172</v>
      </c>
      <c r="C38" s="18" t="s">
        <v>37</v>
      </c>
      <c r="D38" s="19"/>
      <c r="E38" s="20"/>
      <c r="F38" s="19"/>
      <c r="G38" s="20"/>
    </row>
    <row r="39" spans="1:7" x14ac:dyDescent="0.25">
      <c r="A39" s="1" t="s">
        <v>262</v>
      </c>
      <c r="B39" s="35" t="s">
        <v>173</v>
      </c>
      <c r="C39" s="21" t="s">
        <v>38</v>
      </c>
      <c r="D39" s="22">
        <f t="shared" ref="D39:G39" si="2">SUM(D36:D38,D22,D35)</f>
        <v>0</v>
      </c>
      <c r="E39" s="22">
        <f t="shared" si="2"/>
        <v>0</v>
      </c>
      <c r="F39" s="22">
        <f t="shared" si="2"/>
        <v>0</v>
      </c>
      <c r="G39" s="22">
        <f t="shared" si="2"/>
        <v>0</v>
      </c>
    </row>
    <row r="40" spans="1:7" x14ac:dyDescent="0.25">
      <c r="A40" s="1" t="s">
        <v>262</v>
      </c>
      <c r="C40" s="4" t="s">
        <v>39</v>
      </c>
      <c r="D40" s="5"/>
      <c r="E40" s="6"/>
      <c r="F40" s="5"/>
      <c r="G40" s="6"/>
    </row>
    <row r="41" spans="1:7" x14ac:dyDescent="0.25">
      <c r="A41" s="1" t="s">
        <v>262</v>
      </c>
      <c r="C41" s="10" t="s">
        <v>40</v>
      </c>
      <c r="D41" s="11"/>
      <c r="E41" s="12"/>
      <c r="F41" s="11"/>
      <c r="G41" s="12"/>
    </row>
    <row r="42" spans="1:7" x14ac:dyDescent="0.25">
      <c r="A42" s="1" t="s">
        <v>262</v>
      </c>
      <c r="C42" s="18" t="s">
        <v>41</v>
      </c>
      <c r="D42" s="19"/>
      <c r="E42" s="20"/>
      <c r="F42" s="19"/>
      <c r="G42" s="20"/>
    </row>
    <row r="44" spans="1:7" x14ac:dyDescent="0.25">
      <c r="C44" s="2" t="s">
        <v>42</v>
      </c>
      <c r="D44" s="3">
        <f>IF(D$1="","",D$1)</f>
        <v>2022</v>
      </c>
      <c r="E44" s="3">
        <f t="shared" ref="E44:G44" si="3">IF(E$1="","",E$1)</f>
        <v>2023</v>
      </c>
      <c r="F44" s="3">
        <f t="shared" si="3"/>
        <v>2024</v>
      </c>
      <c r="G44" s="3">
        <f t="shared" si="3"/>
        <v>2025</v>
      </c>
    </row>
    <row r="45" spans="1:7" x14ac:dyDescent="0.25">
      <c r="A45" s="1" t="s">
        <v>263</v>
      </c>
      <c r="B45" s="35" t="s">
        <v>174</v>
      </c>
      <c r="C45" s="4" t="s">
        <v>43</v>
      </c>
      <c r="D45" s="5"/>
      <c r="E45" s="6"/>
      <c r="F45" s="5"/>
      <c r="G45" s="6"/>
    </row>
    <row r="46" spans="1:7" x14ac:dyDescent="0.25">
      <c r="A46" s="1" t="s">
        <v>263</v>
      </c>
      <c r="B46" s="35" t="s">
        <v>175</v>
      </c>
      <c r="C46" s="10" t="s">
        <v>44</v>
      </c>
      <c r="D46" s="11"/>
      <c r="E46" s="12"/>
      <c r="F46" s="11"/>
      <c r="G46" s="12"/>
    </row>
    <row r="47" spans="1:7" x14ac:dyDescent="0.25">
      <c r="A47" s="1" t="s">
        <v>263</v>
      </c>
      <c r="B47" s="35" t="s">
        <v>176</v>
      </c>
      <c r="C47" s="10" t="s">
        <v>45</v>
      </c>
      <c r="D47" s="11"/>
      <c r="E47" s="12"/>
      <c r="F47" s="11"/>
      <c r="G47" s="12"/>
    </row>
    <row r="48" spans="1:7" x14ac:dyDescent="0.25">
      <c r="A48" s="1" t="s">
        <v>263</v>
      </c>
      <c r="B48" s="35" t="s">
        <v>177</v>
      </c>
      <c r="C48" s="10" t="s">
        <v>46</v>
      </c>
      <c r="D48" s="11"/>
      <c r="E48" s="12"/>
      <c r="F48" s="11"/>
      <c r="G48" s="12"/>
    </row>
    <row r="49" spans="1:7" x14ac:dyDescent="0.25">
      <c r="A49" s="1" t="s">
        <v>263</v>
      </c>
      <c r="B49" s="35" t="s">
        <v>178</v>
      </c>
      <c r="C49" s="10" t="s">
        <v>47</v>
      </c>
      <c r="D49" s="11"/>
      <c r="E49" s="12"/>
      <c r="F49" s="11"/>
      <c r="G49" s="12"/>
    </row>
    <row r="50" spans="1:7" x14ac:dyDescent="0.25">
      <c r="A50" s="1" t="s">
        <v>263</v>
      </c>
      <c r="B50" s="35" t="s">
        <v>179</v>
      </c>
      <c r="C50" s="10" t="s">
        <v>48</v>
      </c>
      <c r="D50" s="11"/>
      <c r="E50" s="12"/>
      <c r="F50" s="11"/>
      <c r="G50" s="12"/>
    </row>
    <row r="51" spans="1:7" x14ac:dyDescent="0.25">
      <c r="A51" s="1" t="s">
        <v>263</v>
      </c>
      <c r="B51" s="35" t="s">
        <v>180</v>
      </c>
      <c r="C51" s="10" t="s">
        <v>49</v>
      </c>
      <c r="D51" s="11"/>
      <c r="E51" s="12"/>
      <c r="F51" s="11"/>
      <c r="G51" s="12"/>
    </row>
    <row r="52" spans="1:7" x14ac:dyDescent="0.25">
      <c r="A52" s="1" t="s">
        <v>263</v>
      </c>
      <c r="B52" s="35" t="s">
        <v>181</v>
      </c>
      <c r="C52" s="10" t="s">
        <v>50</v>
      </c>
      <c r="D52" s="11"/>
      <c r="E52" s="12"/>
      <c r="F52" s="11"/>
      <c r="G52" s="12"/>
    </row>
    <row r="53" spans="1:7" x14ac:dyDescent="0.25">
      <c r="A53" s="1" t="s">
        <v>263</v>
      </c>
      <c r="B53" s="35" t="s">
        <v>182</v>
      </c>
      <c r="C53" s="10" t="s">
        <v>51</v>
      </c>
      <c r="D53" s="11"/>
      <c r="E53" s="12"/>
      <c r="F53" s="11"/>
      <c r="G53" s="12"/>
    </row>
    <row r="54" spans="1:7" x14ac:dyDescent="0.25">
      <c r="A54" s="1" t="s">
        <v>263</v>
      </c>
      <c r="B54" s="35" t="s">
        <v>183</v>
      </c>
      <c r="C54" s="10" t="s">
        <v>52</v>
      </c>
      <c r="D54" s="11"/>
      <c r="E54" s="12"/>
      <c r="F54" s="11"/>
      <c r="G54" s="12"/>
    </row>
    <row r="55" spans="1:7" x14ac:dyDescent="0.25">
      <c r="A55" s="1" t="s">
        <v>263</v>
      </c>
      <c r="B55" s="35" t="s">
        <v>184</v>
      </c>
      <c r="C55" s="18" t="s">
        <v>53</v>
      </c>
      <c r="D55" s="19"/>
      <c r="E55" s="20"/>
      <c r="F55" s="19"/>
      <c r="G55" s="20"/>
    </row>
    <row r="56" spans="1:7" x14ac:dyDescent="0.25">
      <c r="A56" s="1" t="s">
        <v>263</v>
      </c>
      <c r="B56" s="35" t="s">
        <v>185</v>
      </c>
      <c r="C56" s="16" t="s">
        <v>54</v>
      </c>
      <c r="D56" s="17">
        <f>SUM(D45:D55)</f>
        <v>0</v>
      </c>
      <c r="E56" s="17">
        <f t="shared" ref="E56:G56" si="4">SUM(E45:E55)</f>
        <v>0</v>
      </c>
      <c r="F56" s="17">
        <f t="shared" si="4"/>
        <v>0</v>
      </c>
      <c r="G56" s="17">
        <f t="shared" si="4"/>
        <v>0</v>
      </c>
    </row>
    <row r="57" spans="1:7" x14ac:dyDescent="0.25">
      <c r="A57" s="1" t="s">
        <v>263</v>
      </c>
      <c r="B57" s="35" t="s">
        <v>186</v>
      </c>
      <c r="C57" s="4" t="s">
        <v>55</v>
      </c>
      <c r="D57" s="5"/>
      <c r="E57" s="6"/>
      <c r="F57" s="5"/>
      <c r="G57" s="6"/>
    </row>
    <row r="58" spans="1:7" x14ac:dyDescent="0.25">
      <c r="A58" s="1" t="s">
        <v>263</v>
      </c>
      <c r="B58" s="35" t="s">
        <v>187</v>
      </c>
      <c r="C58" s="7" t="s">
        <v>56</v>
      </c>
      <c r="D58" s="8"/>
      <c r="E58" s="9"/>
      <c r="F58" s="8"/>
      <c r="G58" s="9"/>
    </row>
    <row r="59" spans="1:7" x14ac:dyDescent="0.25">
      <c r="A59" s="1" t="s">
        <v>263</v>
      </c>
      <c r="C59" s="23" t="s">
        <v>57</v>
      </c>
      <c r="D59" s="24"/>
      <c r="E59" s="25"/>
      <c r="F59" s="24"/>
      <c r="G59" s="25"/>
    </row>
    <row r="60" spans="1:7" x14ac:dyDescent="0.25">
      <c r="A60" s="1" t="s">
        <v>263</v>
      </c>
      <c r="B60" s="35" t="s">
        <v>188</v>
      </c>
      <c r="C60" s="16" t="s">
        <v>58</v>
      </c>
      <c r="D60" s="17">
        <f>SUM(D57:D59)</f>
        <v>0</v>
      </c>
      <c r="E60" s="17">
        <f t="shared" ref="E60:G60" si="5">SUM(E57:E59)</f>
        <v>0</v>
      </c>
      <c r="F60" s="17">
        <f t="shared" si="5"/>
        <v>0</v>
      </c>
      <c r="G60" s="17">
        <f t="shared" si="5"/>
        <v>0</v>
      </c>
    </row>
    <row r="61" spans="1:7" x14ac:dyDescent="0.25">
      <c r="A61" s="1" t="s">
        <v>263</v>
      </c>
      <c r="B61" s="35" t="s">
        <v>189</v>
      </c>
      <c r="C61" s="4" t="s">
        <v>59</v>
      </c>
      <c r="D61" s="5"/>
      <c r="E61" s="6"/>
      <c r="F61" s="5"/>
      <c r="G61" s="6"/>
    </row>
    <row r="62" spans="1:7" x14ac:dyDescent="0.25">
      <c r="A62" s="1" t="s">
        <v>263</v>
      </c>
      <c r="B62" s="35" t="s">
        <v>190</v>
      </c>
      <c r="C62" s="18" t="s">
        <v>60</v>
      </c>
      <c r="D62" s="19"/>
      <c r="E62" s="20"/>
      <c r="F62" s="19"/>
      <c r="G62" s="20"/>
    </row>
    <row r="63" spans="1:7" x14ac:dyDescent="0.25">
      <c r="A63" s="1" t="s">
        <v>263</v>
      </c>
      <c r="B63" s="35" t="s">
        <v>191</v>
      </c>
      <c r="C63" s="16" t="s">
        <v>61</v>
      </c>
      <c r="D63" s="17">
        <f>SUM(D61:D62)</f>
        <v>0</v>
      </c>
      <c r="E63" s="17">
        <f t="shared" ref="E63:G63" si="6">SUM(E61:E62)</f>
        <v>0</v>
      </c>
      <c r="F63" s="17">
        <f t="shared" si="6"/>
        <v>0</v>
      </c>
      <c r="G63" s="17">
        <f t="shared" si="6"/>
        <v>0</v>
      </c>
    </row>
    <row r="64" spans="1:7" x14ac:dyDescent="0.25">
      <c r="A64" s="1" t="s">
        <v>263</v>
      </c>
      <c r="B64" s="35" t="s">
        <v>192</v>
      </c>
      <c r="C64" s="4" t="s">
        <v>62</v>
      </c>
      <c r="D64" s="5"/>
      <c r="E64" s="6"/>
      <c r="F64" s="5"/>
      <c r="G64" s="6"/>
    </row>
    <row r="65" spans="1:7" x14ac:dyDescent="0.25">
      <c r="A65" s="1" t="s">
        <v>263</v>
      </c>
      <c r="B65" s="35" t="s">
        <v>193</v>
      </c>
      <c r="C65" s="10" t="s">
        <v>63</v>
      </c>
      <c r="D65" s="11"/>
      <c r="E65" s="12"/>
      <c r="F65" s="11"/>
      <c r="G65" s="12"/>
    </row>
    <row r="66" spans="1:7" x14ac:dyDescent="0.25">
      <c r="A66" s="1" t="s">
        <v>263</v>
      </c>
      <c r="B66" s="35" t="s">
        <v>194</v>
      </c>
      <c r="C66" s="10" t="s">
        <v>64</v>
      </c>
      <c r="D66" s="11"/>
      <c r="E66" s="12"/>
      <c r="F66" s="11"/>
      <c r="G66" s="12"/>
    </row>
    <row r="67" spans="1:7" x14ac:dyDescent="0.25">
      <c r="A67" s="1" t="s">
        <v>263</v>
      </c>
      <c r="B67" s="35" t="s">
        <v>195</v>
      </c>
      <c r="C67" s="10" t="s">
        <v>65</v>
      </c>
      <c r="D67" s="11"/>
      <c r="E67" s="12"/>
      <c r="F67" s="11"/>
      <c r="G67" s="12"/>
    </row>
    <row r="68" spans="1:7" x14ac:dyDescent="0.25">
      <c r="A68" s="1" t="s">
        <v>263</v>
      </c>
      <c r="B68" s="35" t="s">
        <v>196</v>
      </c>
      <c r="C68" s="10" t="s">
        <v>66</v>
      </c>
      <c r="D68" s="11"/>
      <c r="E68" s="12"/>
      <c r="F68" s="11"/>
      <c r="G68" s="12"/>
    </row>
    <row r="69" spans="1:7" x14ac:dyDescent="0.25">
      <c r="A69" s="1" t="s">
        <v>263</v>
      </c>
      <c r="B69" s="35" t="s">
        <v>197</v>
      </c>
      <c r="C69" s="10" t="s">
        <v>67</v>
      </c>
      <c r="D69" s="11"/>
      <c r="E69" s="12"/>
      <c r="F69" s="11"/>
      <c r="G69" s="12"/>
    </row>
    <row r="70" spans="1:7" x14ac:dyDescent="0.25">
      <c r="A70" s="1" t="s">
        <v>263</v>
      </c>
      <c r="B70" s="35" t="s">
        <v>198</v>
      </c>
      <c r="C70" s="10" t="s">
        <v>68</v>
      </c>
      <c r="D70" s="11"/>
      <c r="E70" s="12"/>
      <c r="F70" s="11"/>
      <c r="G70" s="12"/>
    </row>
    <row r="71" spans="1:7" x14ac:dyDescent="0.25">
      <c r="A71" s="1" t="s">
        <v>263</v>
      </c>
      <c r="B71" s="35" t="s">
        <v>199</v>
      </c>
      <c r="C71" s="10" t="s">
        <v>69</v>
      </c>
      <c r="D71" s="11"/>
      <c r="E71" s="12"/>
      <c r="F71" s="11"/>
      <c r="G71" s="12"/>
    </row>
    <row r="72" spans="1:7" x14ac:dyDescent="0.25">
      <c r="A72" s="1" t="s">
        <v>263</v>
      </c>
      <c r="B72" s="35" t="s">
        <v>200</v>
      </c>
      <c r="C72" s="10" t="s">
        <v>70</v>
      </c>
      <c r="D72" s="11"/>
      <c r="E72" s="12"/>
      <c r="F72" s="11"/>
      <c r="G72" s="12"/>
    </row>
    <row r="73" spans="1:7" x14ac:dyDescent="0.25">
      <c r="A73" s="1" t="s">
        <v>263</v>
      </c>
      <c r="B73" s="35" t="s">
        <v>201</v>
      </c>
      <c r="C73" s="18" t="s">
        <v>71</v>
      </c>
      <c r="D73" s="19"/>
      <c r="E73" s="20"/>
      <c r="F73" s="19"/>
      <c r="G73" s="20"/>
    </row>
    <row r="74" spans="1:7" x14ac:dyDescent="0.25">
      <c r="A74" s="1" t="s">
        <v>263</v>
      </c>
      <c r="B74" s="35" t="s">
        <v>202</v>
      </c>
      <c r="C74" s="16" t="s">
        <v>72</v>
      </c>
      <c r="D74" s="17">
        <f>SUM(D64:D73)</f>
        <v>0</v>
      </c>
      <c r="E74" s="17">
        <f t="shared" ref="E74:G74" si="7">SUM(E64:E73)</f>
        <v>0</v>
      </c>
      <c r="F74" s="17">
        <f t="shared" si="7"/>
        <v>0</v>
      </c>
      <c r="G74" s="17">
        <f t="shared" si="7"/>
        <v>0</v>
      </c>
    </row>
    <row r="75" spans="1:7" x14ac:dyDescent="0.25">
      <c r="A75" s="1" t="s">
        <v>263</v>
      </c>
      <c r="B75" s="35" t="s">
        <v>203</v>
      </c>
      <c r="C75" s="7" t="s">
        <v>73</v>
      </c>
      <c r="D75" s="8"/>
      <c r="E75" s="9"/>
      <c r="F75" s="8"/>
      <c r="G75" s="9"/>
    </row>
    <row r="76" spans="1:7" x14ac:dyDescent="0.25">
      <c r="A76" s="1" t="s">
        <v>263</v>
      </c>
      <c r="B76" s="35" t="s">
        <v>204</v>
      </c>
      <c r="C76" s="16" t="s">
        <v>38</v>
      </c>
      <c r="D76" s="17">
        <f>SUM(D56,D60,D63,D74,D75)</f>
        <v>0</v>
      </c>
      <c r="E76" s="17">
        <f t="shared" ref="E76:G76" si="8">SUM(E56,E60,E63,E74,E75)</f>
        <v>0</v>
      </c>
      <c r="F76" s="17">
        <f t="shared" si="8"/>
        <v>0</v>
      </c>
      <c r="G76" s="17">
        <f t="shared" si="8"/>
        <v>0</v>
      </c>
    </row>
    <row r="77" spans="1:7" x14ac:dyDescent="0.25">
      <c r="A77" s="1" t="s">
        <v>263</v>
      </c>
      <c r="B77" s="35"/>
      <c r="C77" s="4" t="s">
        <v>74</v>
      </c>
      <c r="D77" s="5"/>
      <c r="E77" s="6"/>
      <c r="F77" s="5"/>
      <c r="G77" s="6"/>
    </row>
    <row r="78" spans="1:7" x14ac:dyDescent="0.25">
      <c r="A78" s="1" t="s">
        <v>263</v>
      </c>
      <c r="B78" s="35" t="s">
        <v>205</v>
      </c>
      <c r="C78" s="10" t="s">
        <v>75</v>
      </c>
      <c r="D78" s="11"/>
      <c r="E78" s="12"/>
      <c r="F78" s="11"/>
      <c r="G78" s="12"/>
    </row>
    <row r="79" spans="1:7" x14ac:dyDescent="0.25">
      <c r="A79" s="1" t="s">
        <v>263</v>
      </c>
      <c r="B79" s="35" t="s">
        <v>206</v>
      </c>
      <c r="C79" s="10" t="s">
        <v>76</v>
      </c>
      <c r="D79" s="11"/>
      <c r="E79" s="12"/>
      <c r="F79" s="11"/>
      <c r="G79" s="12"/>
    </row>
    <row r="80" spans="1:7" x14ac:dyDescent="0.25">
      <c r="A80" s="1" t="s">
        <v>263</v>
      </c>
      <c r="C80" s="10" t="s">
        <v>77</v>
      </c>
      <c r="D80" s="11"/>
      <c r="E80" s="12"/>
      <c r="F80" s="11"/>
      <c r="G80" s="12"/>
    </row>
    <row r="81" spans="1:7" x14ac:dyDescent="0.25">
      <c r="C81" s="7"/>
      <c r="D81" s="26"/>
      <c r="E81" s="26"/>
      <c r="F81" s="26"/>
      <c r="G81" s="26"/>
    </row>
    <row r="82" spans="1:7" x14ac:dyDescent="0.25">
      <c r="C82" s="2" t="s">
        <v>78</v>
      </c>
      <c r="D82" s="3">
        <f>IF(D$1="","",D$1)</f>
        <v>2022</v>
      </c>
      <c r="E82" s="3">
        <f t="shared" ref="E82:G82" si="9">IF(E$1="","",E$1)</f>
        <v>2023</v>
      </c>
      <c r="F82" s="3">
        <f t="shared" si="9"/>
        <v>2024</v>
      </c>
      <c r="G82" s="3">
        <f t="shared" si="9"/>
        <v>2025</v>
      </c>
    </row>
    <row r="83" spans="1:7" x14ac:dyDescent="0.25">
      <c r="A83" s="1" t="s">
        <v>264</v>
      </c>
      <c r="B83" s="35" t="s">
        <v>207</v>
      </c>
      <c r="C83" s="4" t="s">
        <v>79</v>
      </c>
      <c r="D83" s="5"/>
      <c r="E83" s="6"/>
      <c r="F83" s="5"/>
      <c r="G83" s="6"/>
    </row>
    <row r="84" spans="1:7" x14ac:dyDescent="0.25">
      <c r="A84" s="1" t="s">
        <v>264</v>
      </c>
      <c r="B84" s="35" t="s">
        <v>208</v>
      </c>
      <c r="C84" s="10" t="s">
        <v>80</v>
      </c>
      <c r="D84" s="11"/>
      <c r="E84" s="12"/>
      <c r="F84" s="11"/>
      <c r="G84" s="12"/>
    </row>
    <row r="85" spans="1:7" x14ac:dyDescent="0.25">
      <c r="A85" s="1" t="s">
        <v>264</v>
      </c>
      <c r="B85" s="35" t="s">
        <v>209</v>
      </c>
      <c r="C85" s="18" t="s">
        <v>81</v>
      </c>
      <c r="D85" s="19"/>
      <c r="E85" s="20"/>
      <c r="F85" s="19"/>
      <c r="G85" s="20"/>
    </row>
    <row r="86" spans="1:7" x14ac:dyDescent="0.25">
      <c r="A86" s="1" t="s">
        <v>264</v>
      </c>
      <c r="B86" s="35" t="s">
        <v>210</v>
      </c>
      <c r="C86" s="16" t="s">
        <v>82</v>
      </c>
      <c r="D86" s="17">
        <f>SUM(D83:D85)</f>
        <v>0</v>
      </c>
      <c r="E86" s="17">
        <f t="shared" ref="E86:G86" si="10">SUM(E83:E85)</f>
        <v>0</v>
      </c>
      <c r="F86" s="17">
        <f t="shared" si="10"/>
        <v>0</v>
      </c>
      <c r="G86" s="17">
        <f t="shared" si="10"/>
        <v>0</v>
      </c>
    </row>
    <row r="87" spans="1:7" x14ac:dyDescent="0.25">
      <c r="A87" s="1" t="s">
        <v>264</v>
      </c>
      <c r="B87" s="35" t="s">
        <v>211</v>
      </c>
      <c r="C87" s="4" t="s">
        <v>83</v>
      </c>
      <c r="D87" s="5"/>
      <c r="E87" s="6"/>
      <c r="F87" s="5"/>
      <c r="G87" s="6"/>
    </row>
    <row r="88" spans="1:7" x14ac:dyDescent="0.25">
      <c r="A88" s="1" t="s">
        <v>264</v>
      </c>
      <c r="B88" s="35" t="s">
        <v>212</v>
      </c>
      <c r="C88" s="10" t="s">
        <v>84</v>
      </c>
      <c r="D88" s="11"/>
      <c r="E88" s="12"/>
      <c r="F88" s="11"/>
      <c r="G88" s="12"/>
    </row>
    <row r="89" spans="1:7" x14ac:dyDescent="0.25">
      <c r="A89" s="1" t="s">
        <v>264</v>
      </c>
      <c r="B89" s="35" t="s">
        <v>213</v>
      </c>
      <c r="C89" s="10" t="s">
        <v>85</v>
      </c>
      <c r="D89" s="11"/>
      <c r="E89" s="12"/>
      <c r="F89" s="11"/>
      <c r="G89" s="12"/>
    </row>
    <row r="90" spans="1:7" x14ac:dyDescent="0.25">
      <c r="A90" s="1" t="s">
        <v>264</v>
      </c>
      <c r="B90" s="35" t="s">
        <v>214</v>
      </c>
      <c r="C90" s="10" t="s">
        <v>86</v>
      </c>
      <c r="D90" s="11"/>
      <c r="E90" s="12"/>
      <c r="F90" s="11"/>
      <c r="G90" s="12"/>
    </row>
    <row r="91" spans="1:7" x14ac:dyDescent="0.25">
      <c r="A91" s="1" t="s">
        <v>264</v>
      </c>
      <c r="B91" s="35" t="s">
        <v>215</v>
      </c>
      <c r="C91" s="18" t="s">
        <v>87</v>
      </c>
      <c r="D91" s="19"/>
      <c r="E91" s="20"/>
      <c r="F91" s="19"/>
      <c r="G91" s="20"/>
    </row>
    <row r="92" spans="1:7" x14ac:dyDescent="0.25">
      <c r="A92" s="1" t="s">
        <v>264</v>
      </c>
      <c r="B92" s="35" t="s">
        <v>216</v>
      </c>
      <c r="C92" s="16" t="s">
        <v>88</v>
      </c>
      <c r="D92" s="17">
        <f>SUM(D86:D91)</f>
        <v>0</v>
      </c>
      <c r="E92" s="17">
        <f t="shared" ref="E92:G92" si="11">SUM(E86:E91)</f>
        <v>0</v>
      </c>
      <c r="F92" s="17">
        <f t="shared" si="11"/>
        <v>0</v>
      </c>
      <c r="G92" s="17">
        <f t="shared" si="11"/>
        <v>0</v>
      </c>
    </row>
    <row r="93" spans="1:7" x14ac:dyDescent="0.25">
      <c r="A93" s="1" t="s">
        <v>264</v>
      </c>
      <c r="B93" s="35" t="s">
        <v>217</v>
      </c>
      <c r="C93" s="4" t="s">
        <v>89</v>
      </c>
      <c r="D93" s="5"/>
      <c r="E93" s="6"/>
      <c r="F93" s="5"/>
      <c r="G93" s="6"/>
    </row>
    <row r="94" spans="1:7" x14ac:dyDescent="0.25">
      <c r="A94" s="1" t="s">
        <v>264</v>
      </c>
      <c r="B94" s="35" t="s">
        <v>218</v>
      </c>
      <c r="C94" s="10" t="s">
        <v>90</v>
      </c>
      <c r="D94" s="11"/>
      <c r="E94" s="12"/>
      <c r="F94" s="11"/>
      <c r="G94" s="12"/>
    </row>
    <row r="95" spans="1:7" x14ac:dyDescent="0.25">
      <c r="A95" s="1" t="s">
        <v>264</v>
      </c>
      <c r="B95" s="35" t="s">
        <v>219</v>
      </c>
      <c r="C95" s="10" t="s">
        <v>91</v>
      </c>
      <c r="D95" s="11"/>
      <c r="E95" s="12"/>
      <c r="F95" s="11"/>
      <c r="G95" s="12"/>
    </row>
    <row r="96" spans="1:7" x14ac:dyDescent="0.25">
      <c r="A96" s="1" t="s">
        <v>264</v>
      </c>
      <c r="B96" s="35" t="s">
        <v>220</v>
      </c>
      <c r="C96" s="10" t="s">
        <v>92</v>
      </c>
      <c r="D96" s="11"/>
      <c r="E96" s="12"/>
      <c r="F96" s="11"/>
      <c r="G96" s="12"/>
    </row>
    <row r="97" spans="1:7" x14ac:dyDescent="0.25">
      <c r="A97" s="1" t="s">
        <v>264</v>
      </c>
      <c r="B97" s="35" t="s">
        <v>221</v>
      </c>
      <c r="C97" s="10" t="s">
        <v>93</v>
      </c>
      <c r="D97" s="11"/>
      <c r="E97" s="12"/>
      <c r="F97" s="11"/>
      <c r="G97" s="12"/>
    </row>
    <row r="98" spans="1:7" x14ac:dyDescent="0.25">
      <c r="A98" s="1" t="s">
        <v>264</v>
      </c>
      <c r="B98" s="35" t="s">
        <v>222</v>
      </c>
      <c r="C98" s="10" t="s">
        <v>94</v>
      </c>
      <c r="D98" s="11"/>
      <c r="E98" s="12"/>
      <c r="F98" s="11"/>
      <c r="G98" s="12"/>
    </row>
    <row r="99" spans="1:7" x14ac:dyDescent="0.25">
      <c r="A99" s="1" t="s">
        <v>264</v>
      </c>
      <c r="B99" s="35" t="s">
        <v>223</v>
      </c>
      <c r="C99" s="10" t="s">
        <v>95</v>
      </c>
      <c r="D99" s="11"/>
      <c r="E99" s="12"/>
      <c r="F99" s="11"/>
      <c r="G99" s="12"/>
    </row>
    <row r="100" spans="1:7" x14ac:dyDescent="0.25">
      <c r="A100" s="1" t="s">
        <v>264</v>
      </c>
      <c r="B100" s="35" t="s">
        <v>224</v>
      </c>
      <c r="C100" s="10" t="s">
        <v>96</v>
      </c>
      <c r="D100" s="11"/>
      <c r="E100" s="12"/>
      <c r="F100" s="11"/>
      <c r="G100" s="12"/>
    </row>
    <row r="101" spans="1:7" x14ac:dyDescent="0.25">
      <c r="A101" s="1" t="s">
        <v>264</v>
      </c>
      <c r="C101" s="27" t="s">
        <v>97</v>
      </c>
      <c r="D101" s="28"/>
      <c r="E101" s="28"/>
      <c r="F101" s="29"/>
      <c r="G101" s="28"/>
    </row>
    <row r="102" spans="1:7" x14ac:dyDescent="0.25">
      <c r="A102" s="1" t="s">
        <v>264</v>
      </c>
      <c r="C102" s="27" t="s">
        <v>98</v>
      </c>
      <c r="D102" s="28"/>
      <c r="E102" s="28"/>
      <c r="F102" s="29"/>
      <c r="G102" s="28"/>
    </row>
    <row r="103" spans="1:7" x14ac:dyDescent="0.25">
      <c r="A103" s="1" t="s">
        <v>264</v>
      </c>
      <c r="B103" s="35" t="s">
        <v>225</v>
      </c>
      <c r="C103" s="10" t="s">
        <v>99</v>
      </c>
      <c r="D103" s="11">
        <f t="shared" ref="D103:G103" si="12">SUM(D101:D102)</f>
        <v>0</v>
      </c>
      <c r="E103" s="12">
        <f t="shared" si="12"/>
        <v>0</v>
      </c>
      <c r="F103" s="11">
        <f t="shared" si="12"/>
        <v>0</v>
      </c>
      <c r="G103" s="12">
        <f t="shared" si="12"/>
        <v>0</v>
      </c>
    </row>
    <row r="104" spans="1:7" x14ac:dyDescent="0.25">
      <c r="A104" s="1" t="s">
        <v>264</v>
      </c>
      <c r="B104" s="35" t="s">
        <v>226</v>
      </c>
      <c r="C104" s="10" t="s">
        <v>100</v>
      </c>
      <c r="D104" s="11"/>
      <c r="E104" s="12"/>
      <c r="F104" s="11"/>
      <c r="G104" s="12"/>
    </row>
    <row r="105" spans="1:7" x14ac:dyDescent="0.25">
      <c r="A105" s="1" t="s">
        <v>264</v>
      </c>
      <c r="B105" s="35" t="s">
        <v>227</v>
      </c>
      <c r="C105" s="10" t="s">
        <v>101</v>
      </c>
      <c r="D105" s="11"/>
      <c r="E105" s="12"/>
      <c r="F105" s="11"/>
      <c r="G105" s="12"/>
    </row>
    <row r="106" spans="1:7" x14ac:dyDescent="0.25">
      <c r="A106" s="1" t="s">
        <v>264</v>
      </c>
      <c r="B106" s="35" t="s">
        <v>228</v>
      </c>
      <c r="C106" s="10" t="s">
        <v>102</v>
      </c>
      <c r="D106" s="11"/>
      <c r="E106" s="12"/>
      <c r="F106" s="11"/>
      <c r="G106" s="12"/>
    </row>
    <row r="107" spans="1:7" x14ac:dyDescent="0.25">
      <c r="A107" s="1" t="s">
        <v>264</v>
      </c>
      <c r="B107" s="35" t="s">
        <v>229</v>
      </c>
      <c r="C107" s="18" t="s">
        <v>103</v>
      </c>
      <c r="D107" s="19"/>
      <c r="E107" s="20"/>
      <c r="F107" s="19"/>
      <c r="G107" s="20"/>
    </row>
    <row r="108" spans="1:7" x14ac:dyDescent="0.25">
      <c r="A108" s="1" t="s">
        <v>264</v>
      </c>
      <c r="B108" s="35" t="s">
        <v>230</v>
      </c>
      <c r="C108" s="16" t="s">
        <v>104</v>
      </c>
      <c r="D108" s="17">
        <f t="shared" ref="D108:G108" si="13">SUM(D103:D107,D93:D100)</f>
        <v>0</v>
      </c>
      <c r="E108" s="17">
        <f t="shared" si="13"/>
        <v>0</v>
      </c>
      <c r="F108" s="17">
        <f t="shared" si="13"/>
        <v>0</v>
      </c>
      <c r="G108" s="17">
        <f t="shared" si="13"/>
        <v>0</v>
      </c>
    </row>
    <row r="109" spans="1:7" x14ac:dyDescent="0.25">
      <c r="A109" s="1" t="s">
        <v>264</v>
      </c>
      <c r="B109" s="35" t="s">
        <v>231</v>
      </c>
      <c r="C109" s="21" t="s">
        <v>105</v>
      </c>
      <c r="D109" s="22">
        <f t="shared" ref="D109:G109" si="14">D92-D108</f>
        <v>0</v>
      </c>
      <c r="E109" s="22">
        <f t="shared" si="14"/>
        <v>0</v>
      </c>
      <c r="F109" s="22">
        <f t="shared" si="14"/>
        <v>0</v>
      </c>
      <c r="G109" s="22">
        <f t="shared" si="14"/>
        <v>0</v>
      </c>
    </row>
    <row r="110" spans="1:7" x14ac:dyDescent="0.25">
      <c r="A110" s="1" t="s">
        <v>264</v>
      </c>
      <c r="B110" s="35" t="s">
        <v>232</v>
      </c>
      <c r="C110" s="4" t="s">
        <v>106</v>
      </c>
      <c r="D110" s="5"/>
      <c r="E110" s="6"/>
      <c r="F110" s="5"/>
      <c r="G110" s="6"/>
    </row>
    <row r="111" spans="1:7" x14ac:dyDescent="0.25">
      <c r="A111" s="1" t="s">
        <v>264</v>
      </c>
      <c r="B111" s="35" t="s">
        <v>233</v>
      </c>
      <c r="C111" s="10" t="s">
        <v>107</v>
      </c>
      <c r="D111" s="11"/>
      <c r="E111" s="12"/>
      <c r="F111" s="11"/>
      <c r="G111" s="12"/>
    </row>
    <row r="112" spans="1:7" x14ac:dyDescent="0.25">
      <c r="A112" s="1" t="s">
        <v>264</v>
      </c>
      <c r="B112" s="35" t="s">
        <v>234</v>
      </c>
      <c r="C112" s="10" t="s">
        <v>108</v>
      </c>
      <c r="D112" s="11"/>
      <c r="E112" s="12"/>
      <c r="F112" s="11"/>
      <c r="G112" s="12"/>
    </row>
    <row r="113" spans="1:7" x14ac:dyDescent="0.25">
      <c r="A113" s="1" t="s">
        <v>264</v>
      </c>
      <c r="B113" s="35" t="s">
        <v>235</v>
      </c>
      <c r="C113" s="10" t="s">
        <v>109</v>
      </c>
      <c r="D113" s="11"/>
      <c r="E113" s="12"/>
      <c r="F113" s="11"/>
      <c r="G113" s="12"/>
    </row>
    <row r="114" spans="1:7" x14ac:dyDescent="0.25">
      <c r="A114" s="1" t="s">
        <v>264</v>
      </c>
      <c r="B114" s="35" t="s">
        <v>236</v>
      </c>
      <c r="C114" s="10" t="s">
        <v>110</v>
      </c>
      <c r="D114" s="11"/>
      <c r="E114" s="12"/>
      <c r="F114" s="11"/>
      <c r="G114" s="12"/>
    </row>
    <row r="115" spans="1:7" x14ac:dyDescent="0.25">
      <c r="A115" s="1" t="s">
        <v>264</v>
      </c>
      <c r="B115" s="35" t="s">
        <v>237</v>
      </c>
      <c r="C115" s="10" t="s">
        <v>111</v>
      </c>
      <c r="D115" s="11"/>
      <c r="E115" s="12"/>
      <c r="F115" s="11"/>
      <c r="G115" s="12"/>
    </row>
    <row r="116" spans="1:7" x14ac:dyDescent="0.25">
      <c r="A116" s="1" t="s">
        <v>264</v>
      </c>
      <c r="B116" s="35" t="s">
        <v>238</v>
      </c>
      <c r="C116" s="10" t="s">
        <v>112</v>
      </c>
      <c r="D116" s="11"/>
      <c r="E116" s="12"/>
      <c r="F116" s="11"/>
      <c r="G116" s="12"/>
    </row>
    <row r="117" spans="1:7" x14ac:dyDescent="0.25">
      <c r="A117" s="1" t="s">
        <v>264</v>
      </c>
      <c r="B117" s="35" t="s">
        <v>239</v>
      </c>
      <c r="C117" s="18" t="s">
        <v>113</v>
      </c>
      <c r="D117" s="19"/>
      <c r="E117" s="20"/>
      <c r="F117" s="19"/>
      <c r="G117" s="20"/>
    </row>
    <row r="118" spans="1:7" x14ac:dyDescent="0.25">
      <c r="A118" s="1" t="s">
        <v>264</v>
      </c>
      <c r="B118" s="35" t="s">
        <v>240</v>
      </c>
      <c r="C118" s="16" t="s">
        <v>114</v>
      </c>
      <c r="D118" s="17">
        <f>SUM(D110:D117)</f>
        <v>0</v>
      </c>
      <c r="E118" s="17">
        <f t="shared" ref="E118:G118" si="15">SUM(E110:E117)</f>
        <v>0</v>
      </c>
      <c r="F118" s="17">
        <f t="shared" si="15"/>
        <v>0</v>
      </c>
      <c r="G118" s="17">
        <f t="shared" si="15"/>
        <v>0</v>
      </c>
    </row>
    <row r="119" spans="1:7" x14ac:dyDescent="0.25">
      <c r="A119" s="1" t="s">
        <v>264</v>
      </c>
      <c r="B119" s="35" t="s">
        <v>241</v>
      </c>
      <c r="C119" s="4" t="s">
        <v>115</v>
      </c>
      <c r="D119" s="5"/>
      <c r="E119" s="6"/>
      <c r="F119" s="5"/>
      <c r="G119" s="6"/>
    </row>
    <row r="120" spans="1:7" x14ac:dyDescent="0.25">
      <c r="A120" s="1" t="s">
        <v>264</v>
      </c>
      <c r="B120" s="35" t="s">
        <v>242</v>
      </c>
      <c r="C120" s="10" t="s">
        <v>116</v>
      </c>
      <c r="D120" s="11"/>
      <c r="E120" s="12"/>
      <c r="F120" s="11"/>
      <c r="G120" s="12"/>
    </row>
    <row r="121" spans="1:7" x14ac:dyDescent="0.25">
      <c r="A121" s="1" t="s">
        <v>264</v>
      </c>
      <c r="B121" s="35" t="s">
        <v>243</v>
      </c>
      <c r="C121" s="10" t="s">
        <v>117</v>
      </c>
      <c r="D121" s="11"/>
      <c r="E121" s="12"/>
      <c r="F121" s="11"/>
      <c r="G121" s="12"/>
    </row>
    <row r="122" spans="1:7" x14ac:dyDescent="0.25">
      <c r="A122" s="1" t="s">
        <v>264</v>
      </c>
      <c r="B122" s="35" t="s">
        <v>244</v>
      </c>
      <c r="C122" s="18" t="s">
        <v>118</v>
      </c>
      <c r="D122" s="19"/>
      <c r="E122" s="20"/>
      <c r="F122" s="19"/>
      <c r="G122" s="20"/>
    </row>
    <row r="123" spans="1:7" x14ac:dyDescent="0.25">
      <c r="A123" s="1" t="s">
        <v>264</v>
      </c>
      <c r="B123" s="35" t="s">
        <v>245</v>
      </c>
      <c r="C123" s="16" t="s">
        <v>119</v>
      </c>
      <c r="D123" s="17">
        <f>SUM(D119:D122)</f>
        <v>0</v>
      </c>
      <c r="E123" s="17">
        <f t="shared" ref="E123:G123" si="16">SUM(E119:E122)</f>
        <v>0</v>
      </c>
      <c r="F123" s="17">
        <f t="shared" si="16"/>
        <v>0</v>
      </c>
      <c r="G123" s="17">
        <f t="shared" si="16"/>
        <v>0</v>
      </c>
    </row>
    <row r="124" spans="1:7" x14ac:dyDescent="0.25">
      <c r="A124" s="1" t="s">
        <v>264</v>
      </c>
      <c r="B124" s="35" t="s">
        <v>246</v>
      </c>
      <c r="C124" s="21" t="s">
        <v>120</v>
      </c>
      <c r="D124" s="22">
        <f>D118-D123</f>
        <v>0</v>
      </c>
      <c r="E124" s="22">
        <f t="shared" ref="E124:G124" si="17">E118-E123</f>
        <v>0</v>
      </c>
      <c r="F124" s="22">
        <f t="shared" si="17"/>
        <v>0</v>
      </c>
      <c r="G124" s="22">
        <f t="shared" si="17"/>
        <v>0</v>
      </c>
    </row>
    <row r="125" spans="1:7" x14ac:dyDescent="0.25">
      <c r="A125" s="1" t="s">
        <v>264</v>
      </c>
      <c r="B125" s="35" t="s">
        <v>247</v>
      </c>
      <c r="C125" s="21" t="s">
        <v>121</v>
      </c>
      <c r="D125" s="22">
        <f>D109+D124</f>
        <v>0</v>
      </c>
      <c r="E125" s="22">
        <f t="shared" ref="E125:G125" si="18">E109+E124</f>
        <v>0</v>
      </c>
      <c r="F125" s="22">
        <f t="shared" si="18"/>
        <v>0</v>
      </c>
      <c r="G125" s="22">
        <f t="shared" si="18"/>
        <v>0</v>
      </c>
    </row>
    <row r="126" spans="1:7" x14ac:dyDescent="0.25">
      <c r="A126" s="1" t="s">
        <v>265</v>
      </c>
      <c r="B126" s="35" t="s">
        <v>248</v>
      </c>
      <c r="C126" s="4" t="s">
        <v>122</v>
      </c>
      <c r="D126" s="5"/>
      <c r="E126" s="6"/>
      <c r="F126" s="5"/>
      <c r="G126" s="6"/>
    </row>
    <row r="127" spans="1:7" x14ac:dyDescent="0.25">
      <c r="A127" s="1" t="s">
        <v>265</v>
      </c>
      <c r="B127" s="35" t="s">
        <v>249</v>
      </c>
      <c r="C127" s="10" t="s">
        <v>123</v>
      </c>
      <c r="D127" s="11"/>
      <c r="E127" s="12"/>
      <c r="F127" s="11"/>
      <c r="G127" s="12"/>
    </row>
    <row r="128" spans="1:7" x14ac:dyDescent="0.25">
      <c r="A128" s="1" t="s">
        <v>265</v>
      </c>
      <c r="B128" s="35" t="s">
        <v>250</v>
      </c>
      <c r="C128" s="18" t="s">
        <v>124</v>
      </c>
      <c r="D128" s="19"/>
      <c r="E128" s="20"/>
      <c r="F128" s="19"/>
      <c r="G128" s="20"/>
    </row>
    <row r="129" spans="1:7" x14ac:dyDescent="0.25">
      <c r="A129" s="1" t="s">
        <v>265</v>
      </c>
      <c r="B129" s="35" t="s">
        <v>251</v>
      </c>
      <c r="C129" s="16" t="s">
        <v>125</v>
      </c>
      <c r="D129" s="17">
        <f>SUM(D126:D128)</f>
        <v>0</v>
      </c>
      <c r="E129" s="17">
        <f t="shared" ref="E129:G129" si="19">SUM(E126:E128)</f>
        <v>0</v>
      </c>
      <c r="F129" s="17">
        <f t="shared" si="19"/>
        <v>0</v>
      </c>
      <c r="G129" s="17">
        <f t="shared" si="19"/>
        <v>0</v>
      </c>
    </row>
    <row r="130" spans="1:7" x14ac:dyDescent="0.25">
      <c r="A130" s="1" t="s">
        <v>265</v>
      </c>
      <c r="B130" s="35" t="s">
        <v>252</v>
      </c>
      <c r="C130" s="4" t="s">
        <v>126</v>
      </c>
      <c r="D130" s="5"/>
      <c r="E130" s="6"/>
      <c r="F130" s="5"/>
      <c r="G130" s="6"/>
    </row>
    <row r="131" spans="1:7" x14ac:dyDescent="0.25">
      <c r="A131" s="1" t="s">
        <v>265</v>
      </c>
      <c r="B131" s="35" t="s">
        <v>253</v>
      </c>
      <c r="C131" s="10" t="s">
        <v>127</v>
      </c>
      <c r="D131" s="11"/>
      <c r="E131" s="12"/>
      <c r="F131" s="11"/>
      <c r="G131" s="12"/>
    </row>
    <row r="132" spans="1:7" x14ac:dyDescent="0.25">
      <c r="A132" s="1" t="s">
        <v>265</v>
      </c>
      <c r="B132" s="35" t="s">
        <v>254</v>
      </c>
      <c r="C132" s="18" t="s">
        <v>128</v>
      </c>
      <c r="D132" s="19"/>
      <c r="E132" s="20"/>
      <c r="F132" s="19"/>
      <c r="G132" s="20"/>
    </row>
    <row r="133" spans="1:7" x14ac:dyDescent="0.25">
      <c r="A133" s="1" t="s">
        <v>265</v>
      </c>
      <c r="B133" s="35" t="s">
        <v>255</v>
      </c>
      <c r="C133" s="16" t="s">
        <v>129</v>
      </c>
      <c r="D133" s="17">
        <f>SUM(D130:D132)</f>
        <v>0</v>
      </c>
      <c r="E133" s="17">
        <f t="shared" ref="E133:G133" si="20">SUM(E130:E132)</f>
        <v>0</v>
      </c>
      <c r="F133" s="17">
        <f t="shared" si="20"/>
        <v>0</v>
      </c>
      <c r="G133" s="17">
        <f t="shared" si="20"/>
        <v>0</v>
      </c>
    </row>
    <row r="134" spans="1:7" x14ac:dyDescent="0.25">
      <c r="A134" s="1" t="s">
        <v>265</v>
      </c>
      <c r="B134" s="35" t="s">
        <v>256</v>
      </c>
      <c r="C134" s="21" t="s">
        <v>130</v>
      </c>
      <c r="D134" s="22">
        <f>D129-D133</f>
        <v>0</v>
      </c>
      <c r="E134" s="22">
        <f t="shared" ref="E134:G134" si="21">E129-E133</f>
        <v>0</v>
      </c>
      <c r="F134" s="22">
        <f t="shared" si="21"/>
        <v>0</v>
      </c>
      <c r="G134" s="22">
        <f t="shared" si="21"/>
        <v>0</v>
      </c>
    </row>
    <row r="135" spans="1:7" x14ac:dyDescent="0.25">
      <c r="A135" s="1" t="s">
        <v>265</v>
      </c>
      <c r="B135" s="35" t="s">
        <v>257</v>
      </c>
      <c r="C135" s="4" t="s">
        <v>131</v>
      </c>
      <c r="D135" s="5"/>
      <c r="E135" s="6"/>
      <c r="F135" s="5"/>
      <c r="G135" s="6"/>
    </row>
    <row r="136" spans="1:7" x14ac:dyDescent="0.25">
      <c r="A136" s="1" t="s">
        <v>265</v>
      </c>
      <c r="B136" s="35" t="s">
        <v>258</v>
      </c>
      <c r="C136" s="18" t="s">
        <v>132</v>
      </c>
      <c r="D136" s="19"/>
      <c r="E136" s="20"/>
      <c r="F136" s="19"/>
      <c r="G136" s="20"/>
    </row>
    <row r="137" spans="1:7" x14ac:dyDescent="0.25">
      <c r="A137" s="1" t="s">
        <v>265</v>
      </c>
      <c r="B137" s="35" t="s">
        <v>259</v>
      </c>
      <c r="C137" s="21" t="s">
        <v>133</v>
      </c>
      <c r="D137" s="22">
        <f>D125+D134-D135-D136</f>
        <v>0</v>
      </c>
      <c r="E137" s="22">
        <f t="shared" ref="E137:G137" si="22">E125+E134-E135-E136</f>
        <v>0</v>
      </c>
      <c r="F137" s="22">
        <f t="shared" si="22"/>
        <v>0</v>
      </c>
      <c r="G137" s="22">
        <f t="shared" si="22"/>
        <v>0</v>
      </c>
    </row>
    <row r="138" spans="1:7" x14ac:dyDescent="0.25">
      <c r="A138" s="1" t="s">
        <v>265</v>
      </c>
      <c r="B138" s="35"/>
      <c r="C138" s="30" t="s">
        <v>57</v>
      </c>
      <c r="D138" s="31"/>
      <c r="E138" s="32"/>
      <c r="F138" s="31"/>
      <c r="G138" s="32"/>
    </row>
    <row r="139" spans="1:7" x14ac:dyDescent="0.25">
      <c r="A139" s="1" t="s">
        <v>265</v>
      </c>
      <c r="B139" s="35"/>
      <c r="C139" s="33" t="s">
        <v>134</v>
      </c>
      <c r="D139" s="34">
        <f>D137+D138</f>
        <v>0</v>
      </c>
      <c r="E139" s="34">
        <f t="shared" ref="E139:G139" si="23">E137+E138</f>
        <v>0</v>
      </c>
      <c r="F139" s="34">
        <f t="shared" si="23"/>
        <v>0</v>
      </c>
      <c r="G139" s="34">
        <f t="shared" si="23"/>
        <v>0</v>
      </c>
    </row>
    <row r="140" spans="1:7" x14ac:dyDescent="0.25">
      <c r="A140" s="1" t="s">
        <v>265</v>
      </c>
      <c r="B140" s="35" t="s">
        <v>260</v>
      </c>
      <c r="C140" s="4" t="s">
        <v>135</v>
      </c>
      <c r="D140" s="5"/>
      <c r="E140" s="6"/>
      <c r="F140" s="5"/>
      <c r="G140" s="6"/>
    </row>
  </sheetData>
  <conditionalFormatting sqref="D39:G39">
    <cfRule type="expression" dxfId="1" priority="1">
      <formula>ABS(D39-D76)&gt;3</formula>
    </cfRule>
  </conditionalFormatting>
  <conditionalFormatting sqref="D76:G76">
    <cfRule type="expression" dxfId="0" priority="2">
      <formula>ABS(D39-D76)&gt;3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Dorel</dc:creator>
  <cp:lastModifiedBy>Adrien Dorel</cp:lastModifiedBy>
  <dcterms:created xsi:type="dcterms:W3CDTF">2026-05-01T17:12:04Z</dcterms:created>
  <dcterms:modified xsi:type="dcterms:W3CDTF">2026-05-01T18:29:13Z</dcterms:modified>
</cp:coreProperties>
</file>